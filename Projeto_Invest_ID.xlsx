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E:\Meu Drive\"/>
    </mc:Choice>
  </mc:AlternateContent>
  <xr:revisionPtr revIDLastSave="0" documentId="13_ncr:1_{FD34F103-2B44-4A46-B094-DECB76D0EBA6}" xr6:coauthVersionLast="47" xr6:coauthVersionMax="47" xr10:uidLastSave="{00000000-0000-0000-0000-000000000000}"/>
  <bookViews>
    <workbookView xWindow="-108" yWindow="-108" windowWidth="23256" windowHeight="12456" tabRatio="985" xr2:uid="{AB4BA6CA-F2C2-4764-AFD5-409E5B780FB7}"/>
  </bookViews>
  <sheets>
    <sheet name="Invest ID" sheetId="1" r:id="rId1"/>
    <sheet name="Planilha1" sheetId="2" state="hidden" r:id="rId2"/>
  </sheets>
  <definedNames>
    <definedName name="aporte">'Invest ID'!$D$8</definedName>
    <definedName name="_xlnm.Print_Area" localSheetId="0">'Invest ID'!$A$1:$I$62</definedName>
    <definedName name="dividendo">'Invest ID'!$D$15</definedName>
    <definedName name="patrimonio">'Invest ID'!$D$14</definedName>
    <definedName name="Perfil_investimento">'Invest ID'!$D$6</definedName>
    <definedName name="qtd_anos">'Invest ID'!$D$12</definedName>
    <definedName name="rendimento_carteira">'Invest ID'!$D$5</definedName>
    <definedName name="salario">'Invest ID'!$D$4</definedName>
    <definedName name="sugestao_investimento">'Invest ID'!$D$7</definedName>
    <definedName name="sugestao_investimento_porcent">'Invest ID'!$C$37:$C$43</definedName>
    <definedName name="taxa_mensal">'Invest ID'!$D$13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7" i="1"/>
  <c r="C39" i="1"/>
  <c r="D39" i="1" s="1"/>
  <c r="C40" i="1"/>
  <c r="D40" i="1" s="1"/>
  <c r="C41" i="1"/>
  <c r="D41" i="1" s="1"/>
  <c r="C42" i="1"/>
  <c r="D42" i="1" s="1"/>
  <c r="C43" i="1"/>
  <c r="D43" i="1" s="1"/>
  <c r="C38" i="1"/>
  <c r="D38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C19" i="1"/>
  <c r="C20" i="1"/>
  <c r="C21" i="1"/>
  <c r="C22" i="1"/>
  <c r="C18" i="1"/>
  <c r="D14" i="1"/>
  <c r="D15" i="1" s="1"/>
  <c r="D19" i="1" l="1"/>
  <c r="D20" i="1"/>
  <c r="D21" i="1"/>
  <c r="D22" i="1"/>
  <c r="D18" i="1"/>
  <c r="D44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<sst xmlns="http://schemas.openxmlformats.org/spreadsheetml/2006/main" count="77" uniqueCount="39">
  <si>
    <t>Patrimonio Acumulado</t>
  </si>
  <si>
    <t>Taxa de Rendimento Mensal?</t>
  </si>
  <si>
    <t>Patrimonio Acumulado?</t>
  </si>
  <si>
    <t>Dividendos Mensais?</t>
  </si>
  <si>
    <t>Por Quantos Anos?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</si>
  <si>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</si>
  <si>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</si>
  <si>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</si>
  <si>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</si>
  <si>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</si>
  <si>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</si>
  <si>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Dividendos</t>
  </si>
  <si>
    <t>Patrimônio Acumulado</t>
  </si>
  <si>
    <t>Conservador</t>
  </si>
  <si>
    <t>Moderado</t>
  </si>
  <si>
    <t>Agressivo</t>
  </si>
  <si>
    <t>Tipo de FII</t>
  </si>
  <si>
    <t>Valores</t>
  </si>
  <si>
    <t>Sugestão Investimento (%)</t>
  </si>
  <si>
    <t>Papel</t>
  </si>
  <si>
    <t>Tijolo</t>
  </si>
  <si>
    <t>Híbrido</t>
  </si>
  <si>
    <t>FOFs</t>
  </si>
  <si>
    <t>Desenvolvimento</t>
  </si>
  <si>
    <t>Hotelaria</t>
  </si>
  <si>
    <t>Perfil</t>
  </si>
  <si>
    <t>FII</t>
  </si>
  <si>
    <t>%</t>
  </si>
  <si>
    <t>Chave</t>
  </si>
  <si>
    <t>Qual o seu Salário?</t>
  </si>
  <si>
    <t>Rendimento Carteira?</t>
  </si>
  <si>
    <t>Nossa Sugestão de Investimento</t>
  </si>
  <si>
    <t>Qual o seu Perfil de Investimento?</t>
  </si>
  <si>
    <t>Cenários</t>
  </si>
  <si>
    <t>Aporte</t>
  </si>
  <si>
    <t>Quanto Desejo Investir por Mês?</t>
  </si>
  <si>
    <t>Aporte Mensal</t>
  </si>
  <si>
    <t>Configurações de Perfil</t>
  </si>
  <si>
    <t>Sugestão de Distribuição dos FII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</si>
</sst>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Display"/>
      <family val="2"/>
    </font>
    <font>
      <sz val="12"/>
      <color theme="0"/>
      <name val="Aptos Display"/>
      <family val="2"/>
    </font>
    <font>
      <b/>
      <sz val="12"/>
      <color theme="0"/>
      <name val="Aptos Black"/>
      <family val="2"/>
    </font>
    <font>
      <sz val="12"/>
      <name val="Aptos Display"/>
      <family val="2"/>
    </font>
    <font>
      <b/>
      <sz val="12"/>
      <color theme="1"/>
      <name val="Aptos Display"/>
      <family val="2"/>
    </font>
    <font>
      <sz val="12"/>
      <color theme="1"/>
      <name val="Aptos Black"/>
      <family val="2"/>
    </font>
    <font>
      <sz val="12"/>
      <color theme="0"/>
      <name val="Aptos Black"/>
      <family val="2"/>
    </font>
    <font>
      <b/>
      <sz val="12"/>
      <name val="Aptos Display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EB9C"/>
      </patternFill>
    </fill>
    <fill>
      <patternFill patternType="solid">
        <fgColor theme="5"/>
        <bgColor theme="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3" borderId="0" applyNumberFormat="0" applyBorder="0" applyAlignment="0" applyProtection="0"/>
  </cellStyleXfs>
  <cellXfs count="8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left" indent="3"/>
    </xf>
    <xf numFmtId="0" fontId="4" fillId="5" borderId="0" xfId="0" applyFont="1" applyFill="1"/>
    <xf numFmtId="8" fontId="4" fillId="5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8" fontId="4" fillId="0" borderId="0" xfId="0" applyNumberFormat="1" applyFont="1"/>
    <xf numFmtId="0" fontId="4" fillId="5" borderId="4" xfId="0" applyFont="1" applyFill="1" applyBorder="1" applyAlignment="1">
      <alignment horizontal="left" indent="3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64" fontId="8" fillId="5" borderId="5" xfId="2" applyNumberFormat="1" applyFont="1" applyFill="1" applyBorder="1" applyAlignment="1">
      <alignment horizontal="right" indent="1"/>
    </xf>
    <xf numFmtId="164" fontId="8" fillId="5" borderId="8" xfId="2" applyNumberFormat="1" applyFont="1" applyFill="1" applyBorder="1" applyAlignment="1">
      <alignment horizontal="right" indent="1"/>
    </xf>
    <xf numFmtId="0" fontId="4" fillId="5" borderId="6" xfId="0" applyFont="1" applyFill="1" applyBorder="1" applyAlignment="1">
      <alignment horizontal="left" indent="3"/>
    </xf>
    <xf numFmtId="0" fontId="4" fillId="5" borderId="4" xfId="0" applyFont="1" applyFill="1" applyBorder="1"/>
    <xf numFmtId="0" fontId="4" fillId="5" borderId="5" xfId="0" applyFont="1" applyFill="1" applyBorder="1"/>
    <xf numFmtId="0" fontId="4" fillId="5" borderId="6" xfId="0" applyFont="1" applyFill="1" applyBorder="1"/>
    <xf numFmtId="0" fontId="4" fillId="5" borderId="7" xfId="0" applyFont="1" applyFill="1" applyBorder="1"/>
    <xf numFmtId="0" fontId="4" fillId="5" borderId="8" xfId="0" applyFont="1" applyFill="1" applyBorder="1"/>
    <xf numFmtId="8" fontId="4" fillId="5" borderId="7" xfId="0" applyNumberFormat="1" applyFont="1" applyFill="1" applyBorder="1" applyAlignment="1">
      <alignment horizontal="center"/>
    </xf>
    <xf numFmtId="164" fontId="4" fillId="5" borderId="5" xfId="2" applyNumberFormat="1" applyFont="1" applyFill="1" applyBorder="1" applyAlignment="1">
      <alignment horizontal="center"/>
    </xf>
    <xf numFmtId="164" fontId="4" fillId="5" borderId="8" xfId="2" applyNumberFormat="1" applyFont="1" applyFill="1" applyBorder="1" applyAlignment="1">
      <alignment horizontal="center"/>
    </xf>
    <xf numFmtId="9" fontId="4" fillId="5" borderId="0" xfId="3" applyFont="1" applyFill="1" applyBorder="1" applyAlignment="1">
      <alignment horizontal="center"/>
    </xf>
    <xf numFmtId="164" fontId="4" fillId="5" borderId="5" xfId="0" applyNumberFormat="1" applyFont="1" applyFill="1" applyBorder="1" applyAlignment="1">
      <alignment horizontal="center"/>
    </xf>
    <xf numFmtId="0" fontId="5" fillId="2" borderId="6" xfId="0" applyFont="1" applyFill="1" applyBorder="1"/>
    <xf numFmtId="0" fontId="5" fillId="2" borderId="7" xfId="0" applyFont="1" applyFill="1" applyBorder="1"/>
    <xf numFmtId="9" fontId="0" fillId="0" borderId="0" xfId="3" applyFont="1"/>
    <xf numFmtId="0" fontId="2" fillId="4" borderId="0" xfId="0" applyFont="1" applyFill="1" applyAlignment="1">
      <alignment horizontal="center"/>
    </xf>
    <xf numFmtId="9" fontId="2" fillId="4" borderId="0" xfId="3" applyFont="1" applyFill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3" applyFont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9" fontId="0" fillId="7" borderId="0" xfId="3" applyFont="1" applyFill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3" applyFont="1" applyFill="1" applyBorder="1" applyAlignment="1">
      <alignment horizontal="center"/>
    </xf>
    <xf numFmtId="164" fontId="10" fillId="2" borderId="8" xfId="0" applyNumberFormat="1" applyFont="1" applyFill="1" applyBorder="1" applyAlignment="1">
      <alignment horizontal="center"/>
    </xf>
    <xf numFmtId="10" fontId="4" fillId="0" borderId="5" xfId="3" applyNumberFormat="1" applyFont="1" applyFill="1" applyBorder="1" applyAlignment="1" applyProtection="1">
      <alignment horizontal="right" indent="1"/>
      <protection locked="0"/>
    </xf>
    <xf numFmtId="10" fontId="7" fillId="0" borderId="5" xfId="3" applyNumberFormat="1" applyFont="1" applyFill="1" applyBorder="1" applyAlignment="1" applyProtection="1">
      <alignment horizontal="right" indent="1"/>
      <protection locked="0"/>
    </xf>
    <xf numFmtId="164" fontId="7" fillId="0" borderId="3" xfId="0" applyNumberFormat="1" applyFont="1" applyBorder="1" applyAlignment="1" applyProtection="1">
      <alignment horizontal="right" indent="1"/>
      <protection locked="0"/>
    </xf>
    <xf numFmtId="164" fontId="7" fillId="5" borderId="5" xfId="0" applyNumberFormat="1" applyFont="1" applyFill="1" applyBorder="1" applyAlignment="1">
      <alignment horizontal="right" indent="1"/>
    </xf>
    <xf numFmtId="164" fontId="8" fillId="0" borderId="8" xfId="2" applyNumberFormat="1" applyFont="1" applyFill="1" applyBorder="1" applyAlignment="1" applyProtection="1">
      <alignment horizontal="right" indent="1"/>
      <protection locked="0"/>
    </xf>
    <xf numFmtId="0" fontId="11" fillId="5" borderId="4" xfId="4" applyFont="1" applyFill="1" applyBorder="1" applyAlignment="1">
      <alignment horizontal="left" indent="3"/>
    </xf>
    <xf numFmtId="0" fontId="11" fillId="5" borderId="0" xfId="4" applyFont="1" applyFill="1" applyBorder="1" applyAlignment="1">
      <alignment horizontal="center"/>
    </xf>
    <xf numFmtId="0" fontId="11" fillId="0" borderId="5" xfId="4" applyFont="1" applyFill="1" applyBorder="1" applyAlignment="1">
      <alignment horizontal="right" indent="1"/>
    </xf>
    <xf numFmtId="164" fontId="8" fillId="5" borderId="3" xfId="2" applyNumberFormat="1" applyFont="1" applyFill="1" applyBorder="1" applyAlignment="1" applyProtection="1">
      <alignment horizontal="right" indent="1"/>
    </xf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1" fontId="4" fillId="0" borderId="5" xfId="1" applyNumberFormat="1" applyFont="1" applyFill="1" applyBorder="1" applyAlignment="1" applyProtection="1">
      <alignment horizontal="right" indent="1"/>
      <protection locked="0"/>
    </xf>
    <xf numFmtId="0" fontId="4" fillId="6" borderId="0" xfId="0" applyFont="1" applyFill="1"/>
    <xf numFmtId="0" fontId="10" fillId="2" borderId="9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8" fillId="5" borderId="6" xfId="0" applyFont="1" applyFill="1" applyBorder="1" applyAlignment="1">
      <alignment horizontal="left" indent="3"/>
    </xf>
    <xf numFmtId="0" fontId="8" fillId="5" borderId="7" xfId="0" applyFont="1" applyFill="1" applyBorder="1" applyAlignment="1">
      <alignment horizontal="left" indent="3"/>
    </xf>
    <xf numFmtId="0" fontId="4" fillId="5" borderId="4" xfId="0" applyFont="1" applyFill="1" applyBorder="1" applyAlignment="1">
      <alignment horizontal="left" indent="3"/>
    </xf>
    <xf numFmtId="0" fontId="4" fillId="5" borderId="0" xfId="0" applyFont="1" applyFill="1" applyAlignment="1">
      <alignment horizontal="left" indent="3"/>
    </xf>
    <xf numFmtId="0" fontId="8" fillId="5" borderId="4" xfId="0" applyFont="1" applyFill="1" applyBorder="1" applyAlignment="1">
      <alignment horizontal="left" indent="3"/>
    </xf>
    <xf numFmtId="0" fontId="8" fillId="5" borderId="0" xfId="0" applyFont="1" applyFill="1" applyAlignment="1">
      <alignment horizontal="left" indent="3"/>
    </xf>
    <xf numFmtId="0" fontId="8" fillId="5" borderId="1" xfId="0" applyFont="1" applyFill="1" applyBorder="1" applyAlignment="1">
      <alignment horizontal="left" indent="3"/>
    </xf>
    <xf numFmtId="0" fontId="8" fillId="5" borderId="2" xfId="0" applyFont="1" applyFill="1" applyBorder="1" applyAlignment="1">
      <alignment horizontal="left" indent="3"/>
    </xf>
    <xf numFmtId="0" fontId="7" fillId="5" borderId="1" xfId="0" applyFont="1" applyFill="1" applyBorder="1" applyAlignment="1">
      <alignment horizontal="left" indent="3"/>
    </xf>
    <xf numFmtId="0" fontId="7" fillId="5" borderId="2" xfId="0" applyFont="1" applyFill="1" applyBorder="1" applyAlignment="1">
      <alignment horizontal="left" indent="3"/>
    </xf>
    <xf numFmtId="0" fontId="7" fillId="5" borderId="4" xfId="0" applyFont="1" applyFill="1" applyBorder="1" applyAlignment="1">
      <alignment horizontal="left" indent="3"/>
    </xf>
    <xf numFmtId="0" fontId="7" fillId="5" borderId="0" xfId="0" applyFont="1" applyFill="1" applyAlignment="1">
      <alignment horizontal="left" indent="3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</cellXfs>
  <cellStyles count="5">
    <cellStyle name="Moeda" xfId="2" builtinId="4"/>
    <cellStyle name="Neutro" xfId="4" builtinId="28"/>
    <cellStyle name="Normal" xfId="0" builtinId="0"/>
    <cellStyle name="Porcentagem" xfId="3" builtinId="5"/>
    <cellStyle name="Vírgula" xfId="1" builtinId="3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'Invest ID'!$C$17</c:f>
              <c:strCache>
                <c:ptCount val="1"/>
                <c:pt idx="0">
                  <c:v>Patrimonio Acumulado</c:v>
                </c:pt>
              </c:strCache>
            </c:strRef>
          </c:tx>
          <c:spPr>
            <a:ln w="2222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Planilha1!$I$1:$I$5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'Invest ID'!$C$18:$C$22</c:f>
              <c:numCache>
                <c:formatCode>"R$"#,##0.00_);[Red]\("R$"#,##0.00\)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E5B-4651-9714-1D40D8370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272543"/>
        <c:axId val="690278783"/>
      </c:lineChart>
      <c:catAx>
        <c:axId val="690272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pt-BR"/>
          </a:p>
        </c:txPr>
        <c:crossAx val="690278783"/>
        <c:crosses val="autoZero"/>
        <c:auto val="1"/>
        <c:lblAlgn val="ctr"/>
        <c:lblOffset val="100"/>
        <c:noMultiLvlLbl val="0"/>
      </c:catAx>
      <c:valAx>
        <c:axId val="69027878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R$&quot;#,##0.00_);[Red]\(&quot;R$&quot;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pt-BR"/>
          </a:p>
        </c:txPr>
        <c:crossAx val="690272543"/>
        <c:crosses val="autoZero"/>
        <c:crossBetween val="between"/>
      </c:valAx>
      <c:spPr>
        <a:solidFill>
          <a:schemeClr val="tx2">
            <a:lumMod val="10000"/>
            <a:lumOff val="9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19050" cap="flat" cmpd="sng" algn="ctr">
      <a:solidFill>
        <a:schemeClr val="tx2">
          <a:lumMod val="10000"/>
          <a:lumOff val="90000"/>
        </a:schemeClr>
      </a:solidFill>
      <a:round/>
    </a:ln>
    <a:effectLst/>
  </c:spPr>
  <c:txPr>
    <a:bodyPr/>
    <a:lstStyle/>
    <a:p>
      <a:pPr>
        <a:defRPr baseline="0">
          <a:latin typeface="Aptos Display" panose="020B00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5EC-4A54-84F8-F8608D7EF5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5EC-4A54-84F8-F8608D7EF5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5EC-4A54-84F8-F8608D7EF5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5EC-4A54-84F8-F8608D7EF5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5EC-4A54-84F8-F8608D7EF5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5EC-4A54-84F8-F8608D7EF5B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15EC-4A54-84F8-F8608D7EF5B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15EC-4A54-84F8-F8608D7EF5B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15EC-4A54-84F8-F8608D7EF5B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15EC-4A54-84F8-F8608D7EF5B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15EC-4A54-84F8-F8608D7EF5B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15EC-4A54-84F8-F8608D7EF5B2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'Invest ID'!$B$38:$B$43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'Invest ID'!$C$38:$C$43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C-4A54-84F8-F8608D7EF5B2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10000"/>
        <a:lumOff val="90000"/>
      </a:schemeClr>
    </a:solidFill>
    <a:ln w="12700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24</xdr:row>
      <xdr:rowOff>15240</xdr:rowOff>
    </xdr:from>
    <xdr:to>
      <xdr:col>3</xdr:col>
      <xdr:colOff>1897380</xdr:colOff>
      <xdr:row>34</xdr:row>
      <xdr:rowOff>175260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6FCA2E3-27FC-81BA-1CDA-25CB23FD3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</xdr:colOff>
      <xdr:row>46</xdr:row>
      <xdr:rowOff>30480</xdr:rowOff>
    </xdr:from>
    <xdr:to>
      <xdr:col>3</xdr:col>
      <xdr:colOff>1905000</xdr:colOff>
      <xdr:row>60</xdr:row>
      <xdr:rowOff>186690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3F3A821-C739-5C26-00E5-89303CE0D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45E09BF-F5C8-4C46-8CF4-80EEEE063621}" name="Tabela7" displayName="Tabela7" ref="A1:D19" totalsRowShown="0">
  <autoFilter ref="A1:D19" xr:uid="{745E09BF-F5C8-4C46-8CF4-80EEEE063621}"/>
  <tableColumns count="4">
    <tableColumn id="1" xr3:uid="{61962805-451F-4B7C-ADB2-E4FEB8D77435}" name="Chave" dataDxfId="4">
      <calculatedColumnFormula>Tabela7[[#This Row],[Perfil]]&amp;"-"&amp;Tabela7[[#This Row],[FII]]</calculatedColumnFormula>
    </tableColumn>
    <tableColumn id="2" xr3:uid="{28F5E8B7-4DC2-443B-8971-939BE996371C}" name="Perfil" dataDxfId="3"/>
    <tableColumn id="3" xr3:uid="{B781BC57-EB01-4ADE-8653-797B80784616}" name="FII" dataDxfId="2"/>
    <tableColumn id="4" xr3:uid="{53113A83-A05A-4E99-AB3F-862F86574C48}" name="%" dataDxfId="1" dataCellStyle="Porcentagem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D3B9816-511B-46DA-A456-6634623CCA3A}" name="Tabela8" displayName="Tabela8" ref="F1:G4" totalsRowShown="0">
  <autoFilter ref="F1:G4" xr:uid="{ED3B9816-511B-46DA-A456-6634623CCA3A}"/>
  <tableColumns count="2">
    <tableColumn id="1" xr3:uid="{70695AD7-28CA-46BF-A7B4-4958ABA21EAA}" name="Perfil"/>
    <tableColumn id="2" xr3:uid="{7C5A2FC9-2407-46A2-89D7-141C61E6800F}" name="Aporte" dataDxfId="0" dataCellStyle="Porcentagem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DBE75-FED0-4A46-BB3A-FC05E74F8235}">
  <sheetPr codeName="Planilha1"/>
  <dimension ref="A1:I61"/>
  <sheetViews>
    <sheetView showGridLines="0" showRowColHeaders="0" tabSelected="1" zoomScaleNormal="100" workbookViewId="0">
      <pane ySplit="1" topLeftCell="A2" activePane="bottomLeft" state="frozen"/>
      <selection pane="bottomLeft" activeCell="D19" sqref="D19"/>
    </sheetView>
  </sheetViews>
  <sheetFormatPr defaultColWidth="0" defaultRowHeight="15.6" x14ac:dyDescent="0.3"/>
  <cols>
    <col min="1" max="1" width="16.21875" style="1" customWidth="1"/>
    <col min="2" max="2" width="27.44140625" style="1" customWidth="1"/>
    <col min="3" max="3" width="31.109375" style="1" customWidth="1"/>
    <col min="4" max="4" width="28.21875" style="1" customWidth="1"/>
    <col min="5" max="5" width="16.21875" style="1" customWidth="1"/>
    <col min="6" max="9" width="16.21875" style="1" hidden="1" customWidth="1"/>
    <col min="10" max="11" width="8.88671875" style="1" hidden="1" customWidth="1"/>
    <col min="12" max="16384" width="8.88671875" style="1" hidden="1"/>
  </cols>
  <sheetData>
    <row r="1" spans="1:9" ht="89.4" customHeight="1" x14ac:dyDescent="0.3">
      <c r="A1" s="66" t="e" vm="1">
        <v>#VALUE!</v>
      </c>
      <c r="B1" s="66"/>
      <c r="C1" s="66"/>
      <c r="D1" s="66"/>
      <c r="E1" s="66"/>
      <c r="F1" s="60"/>
      <c r="G1" s="60"/>
      <c r="H1" s="60"/>
      <c r="I1" s="60"/>
    </row>
    <row r="2" spans="1:9" ht="16.2" thickBot="1" x14ac:dyDescent="0.35">
      <c r="A2" s="7"/>
      <c r="B2" s="2"/>
      <c r="C2" s="2"/>
      <c r="D2" s="2"/>
      <c r="E2" s="2"/>
      <c r="F2" s="2"/>
      <c r="G2" s="2"/>
      <c r="H2" s="2"/>
      <c r="I2" s="2"/>
    </row>
    <row r="3" spans="1:9" ht="16.2" thickBot="1" x14ac:dyDescent="0.35">
      <c r="A3" s="8"/>
      <c r="B3" s="82" t="s">
        <v>37</v>
      </c>
      <c r="C3" s="83"/>
      <c r="D3" s="84"/>
    </row>
    <row r="4" spans="1:9" x14ac:dyDescent="0.3">
      <c r="A4" s="8"/>
      <c r="B4" s="75" t="s">
        <v>29</v>
      </c>
      <c r="C4" s="76"/>
      <c r="D4" s="43"/>
    </row>
    <row r="5" spans="1:9" x14ac:dyDescent="0.3">
      <c r="A5" s="8"/>
      <c r="B5" s="77" t="s">
        <v>30</v>
      </c>
      <c r="C5" s="78"/>
      <c r="D5" s="42"/>
    </row>
    <row r="6" spans="1:9" x14ac:dyDescent="0.3">
      <c r="A6" s="8"/>
      <c r="B6" s="46" t="s">
        <v>32</v>
      </c>
      <c r="C6" s="47"/>
      <c r="D6" s="48" t="s">
        <v>14</v>
      </c>
    </row>
    <row r="7" spans="1:9" x14ac:dyDescent="0.3">
      <c r="A7" s="8"/>
      <c r="B7" s="77" t="s">
        <v>31</v>
      </c>
      <c r="C7" s="78"/>
      <c r="D7" s="44">
        <f>VLOOKUP(Perfil_investimento,Tabela8[#All],2,FALSE)*salario</f>
        <v>0</v>
      </c>
    </row>
    <row r="8" spans="1:9" ht="16.2" thickBot="1" x14ac:dyDescent="0.35">
      <c r="A8" s="8"/>
      <c r="B8" s="67" t="s">
        <v>35</v>
      </c>
      <c r="C8" s="68"/>
      <c r="D8" s="45"/>
    </row>
    <row r="9" spans="1:9" ht="16.2" thickBot="1" x14ac:dyDescent="0.35">
      <c r="A9" s="8"/>
      <c r="B9" s="4"/>
      <c r="C9" s="4"/>
    </row>
    <row r="10" spans="1:9" ht="16.2" thickBot="1" x14ac:dyDescent="0.35">
      <c r="A10" s="8"/>
      <c r="B10" s="79" t="s">
        <v>5</v>
      </c>
      <c r="C10" s="80"/>
      <c r="D10" s="81"/>
    </row>
    <row r="11" spans="1:9" x14ac:dyDescent="0.3">
      <c r="B11" s="73" t="s">
        <v>36</v>
      </c>
      <c r="C11" s="74"/>
      <c r="D11" s="49">
        <f>aporte</f>
        <v>0</v>
      </c>
    </row>
    <row r="12" spans="1:9" x14ac:dyDescent="0.3">
      <c r="B12" s="69" t="s">
        <v>4</v>
      </c>
      <c r="C12" s="70"/>
      <c r="D12" s="59"/>
    </row>
    <row r="13" spans="1:9" x14ac:dyDescent="0.3">
      <c r="B13" s="69" t="s">
        <v>1</v>
      </c>
      <c r="C13" s="70"/>
      <c r="D13" s="41"/>
    </row>
    <row r="14" spans="1:9" x14ac:dyDescent="0.3">
      <c r="B14" s="71" t="s">
        <v>2</v>
      </c>
      <c r="C14" s="72"/>
      <c r="D14" s="14">
        <f>FV(taxa_mensal,qtd_anos*12,aporte*-1)</f>
        <v>0</v>
      </c>
    </row>
    <row r="15" spans="1:9" ht="16.2" thickBot="1" x14ac:dyDescent="0.35">
      <c r="B15" s="67" t="s">
        <v>3</v>
      </c>
      <c r="C15" s="68"/>
      <c r="D15" s="15">
        <f>patrimonio*rendimento_carteira</f>
        <v>0</v>
      </c>
    </row>
    <row r="16" spans="1:9" ht="16.2" thickBot="1" x14ac:dyDescent="0.35">
      <c r="A16" s="3"/>
      <c r="E16" s="9"/>
    </row>
    <row r="17" spans="1:4" x14ac:dyDescent="0.3">
      <c r="A17" s="3"/>
      <c r="B17" s="11" t="s">
        <v>33</v>
      </c>
      <c r="C17" s="12" t="s">
        <v>0</v>
      </c>
      <c r="D17" s="13" t="s">
        <v>11</v>
      </c>
    </row>
    <row r="18" spans="1:4" x14ac:dyDescent="0.3">
      <c r="A18" s="3"/>
      <c r="B18" s="10" t="s">
        <v>6</v>
      </c>
      <c r="C18" s="6">
        <f>FV(taxa_mensal,VALUE(MID($B18,10,SEARCH(" ",$B18,11)-10))*12,aporte*-1)</f>
        <v>0</v>
      </c>
      <c r="D18" s="23">
        <f>$C18*$D$5</f>
        <v>0</v>
      </c>
    </row>
    <row r="19" spans="1:4" x14ac:dyDescent="0.3">
      <c r="A19" s="3"/>
      <c r="B19" s="10" t="s">
        <v>7</v>
      </c>
      <c r="C19" s="6">
        <f>FV(taxa_mensal,VALUE(MID($B19,10,SEARCH(" ",$B19,11)-10))*12,aporte*-1)</f>
        <v>0</v>
      </c>
      <c r="D19" s="23">
        <f>$C19*$D$5</f>
        <v>0</v>
      </c>
    </row>
    <row r="20" spans="1:4" x14ac:dyDescent="0.3">
      <c r="A20" s="3"/>
      <c r="B20" s="10" t="s">
        <v>8</v>
      </c>
      <c r="C20" s="6">
        <f>FV(taxa_mensal,VALUE(MID($B20,10,SEARCH(" ",$B20,11)-10))*12,aporte*-1)</f>
        <v>0</v>
      </c>
      <c r="D20" s="23">
        <f>$C20*$D$5</f>
        <v>0</v>
      </c>
    </row>
    <row r="21" spans="1:4" x14ac:dyDescent="0.3">
      <c r="A21" s="3"/>
      <c r="B21" s="10" t="s">
        <v>9</v>
      </c>
      <c r="C21" s="6">
        <f>FV(taxa_mensal,VALUE(MID($B21,10,SEARCH(" ",$B21,11)-10))*12,aporte*-1)</f>
        <v>0</v>
      </c>
      <c r="D21" s="23">
        <f>$C21*$D$5</f>
        <v>0</v>
      </c>
    </row>
    <row r="22" spans="1:4" ht="16.2" thickBot="1" x14ac:dyDescent="0.35">
      <c r="A22" s="3"/>
      <c r="B22" s="16" t="s">
        <v>10</v>
      </c>
      <c r="C22" s="22">
        <f>FV(taxa_mensal,VALUE(MID($B22,10,SEARCH(" ",$B22,11)-10))*12,aporte*-1)</f>
        <v>0</v>
      </c>
      <c r="D22" s="24">
        <f>$C22*$D$5</f>
        <v>0</v>
      </c>
    </row>
    <row r="23" spans="1:4" ht="16.2" thickBot="1" x14ac:dyDescent="0.35">
      <c r="A23" s="3"/>
      <c r="B23"/>
      <c r="C23"/>
      <c r="D23"/>
    </row>
    <row r="24" spans="1:4" ht="16.2" thickBot="1" x14ac:dyDescent="0.35">
      <c r="A24" s="3"/>
      <c r="B24" s="61" t="s">
        <v>12</v>
      </c>
      <c r="C24" s="62"/>
      <c r="D24" s="63"/>
    </row>
    <row r="25" spans="1:4" x14ac:dyDescent="0.3">
      <c r="A25" s="3"/>
      <c r="B25" s="50"/>
      <c r="C25" s="51"/>
      <c r="D25" s="52"/>
    </row>
    <row r="26" spans="1:4" x14ac:dyDescent="0.3">
      <c r="A26" s="3"/>
      <c r="B26" s="53"/>
      <c r="C26" s="54"/>
      <c r="D26" s="55"/>
    </row>
    <row r="27" spans="1:4" x14ac:dyDescent="0.3">
      <c r="A27" s="3"/>
      <c r="B27" s="53"/>
      <c r="C27" s="54"/>
      <c r="D27" s="55"/>
    </row>
    <row r="28" spans="1:4" x14ac:dyDescent="0.3">
      <c r="A28" s="3"/>
      <c r="B28" s="53"/>
      <c r="C28" s="54"/>
      <c r="D28" s="55"/>
    </row>
    <row r="29" spans="1:4" x14ac:dyDescent="0.3">
      <c r="A29" s="3"/>
      <c r="B29" s="53"/>
      <c r="C29" s="54"/>
      <c r="D29" s="55"/>
    </row>
    <row r="30" spans="1:4" x14ac:dyDescent="0.3">
      <c r="A30" s="3"/>
      <c r="B30" s="53"/>
      <c r="C30" s="54"/>
      <c r="D30" s="55"/>
    </row>
    <row r="31" spans="1:4" x14ac:dyDescent="0.3">
      <c r="A31" s="3"/>
      <c r="B31" s="53"/>
      <c r="C31" s="54"/>
      <c r="D31" s="55"/>
    </row>
    <row r="32" spans="1:4" x14ac:dyDescent="0.3">
      <c r="A32" s="3"/>
      <c r="B32" s="53"/>
      <c r="C32" s="54"/>
      <c r="D32" s="55"/>
    </row>
    <row r="33" spans="1:4" x14ac:dyDescent="0.3">
      <c r="A33" s="3"/>
      <c r="B33" s="53"/>
      <c r="C33" s="54"/>
      <c r="D33" s="55"/>
    </row>
    <row r="34" spans="1:4" x14ac:dyDescent="0.3">
      <c r="A34" s="3"/>
      <c r="B34" s="53"/>
      <c r="C34" s="54"/>
      <c r="D34" s="55"/>
    </row>
    <row r="35" spans="1:4" ht="16.2" thickBot="1" x14ac:dyDescent="0.35">
      <c r="B35" s="56"/>
      <c r="C35" s="57"/>
      <c r="D35" s="58"/>
    </row>
    <row r="36" spans="1:4" ht="16.2" thickBot="1" x14ac:dyDescent="0.35"/>
    <row r="37" spans="1:4" x14ac:dyDescent="0.3">
      <c r="B37" s="11" t="s">
        <v>16</v>
      </c>
      <c r="C37" s="12" t="s">
        <v>18</v>
      </c>
      <c r="D37" s="13" t="s">
        <v>17</v>
      </c>
    </row>
    <row r="38" spans="1:4" x14ac:dyDescent="0.3">
      <c r="B38" s="10" t="s">
        <v>19</v>
      </c>
      <c r="C38" s="25">
        <f>VLOOKUP($D$6&amp;"-"&amp;$B38,Planilha1!$A:$D,4,FALSE)</f>
        <v>0.32</v>
      </c>
      <c r="D38" s="26">
        <f t="shared" ref="D38:D43" si="0">aporte*$C38</f>
        <v>0</v>
      </c>
    </row>
    <row r="39" spans="1:4" x14ac:dyDescent="0.3">
      <c r="B39" s="10" t="s">
        <v>20</v>
      </c>
      <c r="C39" s="25">
        <f>VLOOKUP($D$6&amp;"-"&amp;$B39,Planilha1!$A:$D,4,FALSE)</f>
        <v>0.35</v>
      </c>
      <c r="D39" s="26">
        <f t="shared" si="0"/>
        <v>0</v>
      </c>
    </row>
    <row r="40" spans="1:4" x14ac:dyDescent="0.3">
      <c r="B40" s="10" t="s">
        <v>21</v>
      </c>
      <c r="C40" s="25">
        <f>VLOOKUP($D$6&amp;"-"&amp;$B40,Planilha1!$A:$D,4,FALSE)</f>
        <v>0.08</v>
      </c>
      <c r="D40" s="26">
        <f t="shared" si="0"/>
        <v>0</v>
      </c>
    </row>
    <row r="41" spans="1:4" x14ac:dyDescent="0.3">
      <c r="B41" s="10" t="s">
        <v>22</v>
      </c>
      <c r="C41" s="25">
        <f>VLOOKUP($D$6&amp;"-"&amp;$B41,Planilha1!$A:$D,4,FALSE)</f>
        <v>0.05</v>
      </c>
      <c r="D41" s="26">
        <f t="shared" si="0"/>
        <v>0</v>
      </c>
    </row>
    <row r="42" spans="1:4" x14ac:dyDescent="0.3">
      <c r="B42" s="10" t="s">
        <v>23</v>
      </c>
      <c r="C42" s="25">
        <f>VLOOKUP($D$6&amp;"-"&amp;$B42,Planilha1!$A:$D,4,FALSE)</f>
        <v>0.1</v>
      </c>
      <c r="D42" s="26">
        <f t="shared" si="0"/>
        <v>0</v>
      </c>
    </row>
    <row r="43" spans="1:4" x14ac:dyDescent="0.3">
      <c r="B43" s="10" t="s">
        <v>24</v>
      </c>
      <c r="C43" s="25">
        <f>VLOOKUP($D$6&amp;"-"&amp;$B43,Planilha1!$A:$D,4,FALSE)</f>
        <v>0.1</v>
      </c>
      <c r="D43" s="26">
        <f t="shared" si="0"/>
        <v>0</v>
      </c>
    </row>
    <row r="44" spans="1:4" ht="16.2" thickBot="1" x14ac:dyDescent="0.35">
      <c r="B44" s="27"/>
      <c r="C44" s="28"/>
      <c r="D44" s="40">
        <f>SUM(D38:D43)</f>
        <v>0</v>
      </c>
    </row>
    <row r="45" spans="1:4" ht="16.2" thickBot="1" x14ac:dyDescent="0.35"/>
    <row r="46" spans="1:4" ht="16.2" thickBot="1" x14ac:dyDescent="0.35">
      <c r="B46" s="61" t="s">
        <v>38</v>
      </c>
      <c r="C46" s="64"/>
      <c r="D46" s="65"/>
    </row>
    <row r="47" spans="1:4" x14ac:dyDescent="0.3">
      <c r="B47" s="50"/>
      <c r="C47" s="51"/>
      <c r="D47" s="52"/>
    </row>
    <row r="48" spans="1:4" x14ac:dyDescent="0.3">
      <c r="B48" s="17"/>
      <c r="C48" s="5"/>
      <c r="D48" s="18"/>
    </row>
    <row r="49" spans="2:4" x14ac:dyDescent="0.3">
      <c r="B49" s="17"/>
      <c r="C49" s="5"/>
      <c r="D49" s="18"/>
    </row>
    <row r="50" spans="2:4" x14ac:dyDescent="0.3">
      <c r="B50" s="17"/>
      <c r="C50" s="5"/>
      <c r="D50" s="18"/>
    </row>
    <row r="51" spans="2:4" x14ac:dyDescent="0.3">
      <c r="B51" s="17"/>
      <c r="C51" s="5"/>
      <c r="D51" s="18"/>
    </row>
    <row r="52" spans="2:4" x14ac:dyDescent="0.3">
      <c r="B52" s="17"/>
      <c r="C52" s="5"/>
      <c r="D52" s="18"/>
    </row>
    <row r="53" spans="2:4" x14ac:dyDescent="0.3">
      <c r="B53" s="17"/>
      <c r="C53" s="5"/>
      <c r="D53" s="18"/>
    </row>
    <row r="54" spans="2:4" x14ac:dyDescent="0.3">
      <c r="B54" s="17"/>
      <c r="C54" s="5"/>
      <c r="D54" s="18"/>
    </row>
    <row r="55" spans="2:4" x14ac:dyDescent="0.3">
      <c r="B55" s="17"/>
      <c r="C55" s="5"/>
      <c r="D55" s="18"/>
    </row>
    <row r="56" spans="2:4" x14ac:dyDescent="0.3">
      <c r="B56" s="17"/>
      <c r="C56" s="5"/>
      <c r="D56" s="18"/>
    </row>
    <row r="57" spans="2:4" x14ac:dyDescent="0.3">
      <c r="B57" s="17"/>
      <c r="C57" s="5"/>
      <c r="D57" s="18"/>
    </row>
    <row r="58" spans="2:4" x14ac:dyDescent="0.3">
      <c r="B58" s="17"/>
      <c r="C58" s="5"/>
      <c r="D58" s="18"/>
    </row>
    <row r="59" spans="2:4" x14ac:dyDescent="0.3">
      <c r="B59" s="17"/>
      <c r="C59" s="5"/>
      <c r="D59" s="18"/>
    </row>
    <row r="60" spans="2:4" x14ac:dyDescent="0.3">
      <c r="B60" s="17"/>
      <c r="C60" s="5"/>
      <c r="D60" s="18"/>
    </row>
    <row r="61" spans="2:4" ht="16.2" thickBot="1" x14ac:dyDescent="0.35">
      <c r="B61" s="19"/>
      <c r="C61" s="20"/>
      <c r="D61" s="21"/>
    </row>
  </sheetData>
  <mergeCells count="14">
    <mergeCell ref="B24:D24"/>
    <mergeCell ref="B46:D46"/>
    <mergeCell ref="A1:E1"/>
    <mergeCell ref="B8:C8"/>
    <mergeCell ref="B12:C12"/>
    <mergeCell ref="B13:C13"/>
    <mergeCell ref="B14:C14"/>
    <mergeCell ref="B15:C15"/>
    <mergeCell ref="B11:C11"/>
    <mergeCell ref="B4:C4"/>
    <mergeCell ref="B5:C5"/>
    <mergeCell ref="B7:C7"/>
    <mergeCell ref="B10:D10"/>
    <mergeCell ref="B3:D3"/>
  </mergeCells>
  <dataValidations count="10">
    <dataValidation type="list" allowBlank="1" showInputMessage="1" showErrorMessage="1" prompt="Selecione o seu perfil de investimento" sqref="D6" xr:uid="{559B3798-509A-4D96-A287-097D3C008CB7}">
      <formula1>"Conservador, Moderado, Agressivo,"</formula1>
    </dataValidation>
    <dataValidation allowBlank="1" showInputMessage="1" showErrorMessage="1" prompt="Insira o valor estimado de seu salário ou sua renda mensal._x000a_" sqref="D4" xr:uid="{FAEAB463-7446-4DC3-9868-AA9BDD441E96}"/>
    <dataValidation allowBlank="1" showInputMessage="1" showErrorMessage="1" prompt="Insira o rendimento de sua carteira, em caso de duvidas, adote o valor padrão de 0,90%._x000a_" sqref="D5" xr:uid="{20FF232C-EC91-425F-BCD9-D4824B876C6C}"/>
    <dataValidation allowBlank="1" showInputMessage="1" showErrorMessage="1" prompt="Use nossa sugestão como uma referencia para valor de seu aporte." sqref="D7" xr:uid="{25AD4DAD-4B8F-477E-BCC2-9F94391A2494}"/>
    <dataValidation allowBlank="1" showInputMessage="1" showErrorMessage="1" prompt="Insira aqui o valor que você deseja investir no aporte mensal." sqref="D8" xr:uid="{4B0704A2-034A-4EEB-9B7E-1466C9944180}"/>
    <dataValidation allowBlank="1" showInputMessage="1" showErrorMessage="1" prompt="Insira o periodo de anos em que você deseja simular o investimento." sqref="D12" xr:uid="{0B8385AE-AFFE-49BE-9CFD-4E75FB1AE66A}"/>
    <dataValidation allowBlank="1" showInputMessage="1" showErrorMessage="1" prompt="Insira a taxa de rendimento do investimento desejado._x000a_" sqref="D13" xr:uid="{E1C62F30-8A98-48EF-8E99-AD27495D8C93}"/>
    <dataValidation allowBlank="1" showInputMessage="1" showErrorMessage="1" prompt="Esta é a estimativa do seu Patrimonio Acumulado sob as condições simuladas acima." sqref="D14" xr:uid="{E926732A-FD97-4BAE-A3C0-127589720CEA}"/>
    <dataValidation allowBlank="1" showInputMessage="1" showErrorMessage="1" prompt="Esta é a estimativa dos seu Dividendos sob as condições simuladas acima." sqref="D15" xr:uid="{4A5CCCF0-029C-4953-9E0C-0D9D296FAF6B}"/>
    <dataValidation allowBlank="1" showInputMessage="1" showErrorMessage="1" prompt="Valor Investido por Mês." sqref="D11" xr:uid="{375DCFEC-C916-4F77-92AB-E48BA66D627B}"/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223AC-86D1-416D-94B7-62AE954A0090}">
  <sheetPr codeName="Planilha2"/>
  <dimension ref="A1:I19"/>
  <sheetViews>
    <sheetView workbookViewId="0">
      <selection activeCell="I6" sqref="I6"/>
    </sheetView>
  </sheetViews>
  <sheetFormatPr defaultRowHeight="14.4" x14ac:dyDescent="0.3"/>
  <cols>
    <col min="1" max="1" width="26" bestFit="1" customWidth="1"/>
    <col min="2" max="3" width="14.6640625" customWidth="1"/>
    <col min="4" max="4" width="14.6640625" style="29" customWidth="1"/>
    <col min="6" max="6" width="11.21875" bestFit="1" customWidth="1"/>
    <col min="7" max="7" width="8.77734375" bestFit="1" customWidth="1"/>
  </cols>
  <sheetData>
    <row r="1" spans="1:9" x14ac:dyDescent="0.3">
      <c r="A1" t="s">
        <v>28</v>
      </c>
      <c r="B1" s="30" t="s">
        <v>25</v>
      </c>
      <c r="C1" s="30" t="s">
        <v>26</v>
      </c>
      <c r="D1" s="31" t="s">
        <v>27</v>
      </c>
      <c r="F1" t="s">
        <v>25</v>
      </c>
      <c r="G1" t="s">
        <v>34</v>
      </c>
      <c r="I1">
        <v>2</v>
      </c>
    </row>
    <row r="2" spans="1:9" x14ac:dyDescent="0.3">
      <c r="A2" t="str">
        <f>Tabela7[[#This Row],[Perfil]]&amp;"-"&amp;Tabela7[[#This Row],[FII]]</f>
        <v>Conservador-Papel</v>
      </c>
      <c r="B2" s="32" t="s">
        <v>13</v>
      </c>
      <c r="C2" s="32" t="s">
        <v>19</v>
      </c>
      <c r="D2" s="33">
        <v>0.3</v>
      </c>
      <c r="F2" t="s">
        <v>13</v>
      </c>
      <c r="G2" s="29">
        <v>0.1</v>
      </c>
      <c r="I2">
        <v>5</v>
      </c>
    </row>
    <row r="3" spans="1:9" x14ac:dyDescent="0.3">
      <c r="A3" t="str">
        <f>Tabela7[[#This Row],[Perfil]]&amp;"-"&amp;Tabela7[[#This Row],[FII]]</f>
        <v>Conservador-Tijolo</v>
      </c>
      <c r="B3" s="32" t="s">
        <v>13</v>
      </c>
      <c r="C3" s="32" t="s">
        <v>20</v>
      </c>
      <c r="D3" s="33">
        <v>0.5</v>
      </c>
      <c r="F3" t="s">
        <v>14</v>
      </c>
      <c r="G3" s="29">
        <v>0.2</v>
      </c>
      <c r="I3">
        <v>10</v>
      </c>
    </row>
    <row r="4" spans="1:9" x14ac:dyDescent="0.3">
      <c r="A4" t="str">
        <f>Tabela7[[#This Row],[Perfil]]&amp;"-"&amp;Tabela7[[#This Row],[FII]]</f>
        <v>Conservador-Híbrido</v>
      </c>
      <c r="B4" s="32" t="s">
        <v>13</v>
      </c>
      <c r="C4" s="32" t="s">
        <v>21</v>
      </c>
      <c r="D4" s="33">
        <v>0.1</v>
      </c>
      <c r="F4" t="s">
        <v>15</v>
      </c>
      <c r="G4" s="29">
        <v>0.3</v>
      </c>
      <c r="I4">
        <v>20</v>
      </c>
    </row>
    <row r="5" spans="1:9" x14ac:dyDescent="0.3">
      <c r="A5" t="str">
        <f>Tabela7[[#This Row],[Perfil]]&amp;"-"&amp;Tabela7[[#This Row],[FII]]</f>
        <v>Conservador-FOFs</v>
      </c>
      <c r="B5" s="32" t="s">
        <v>13</v>
      </c>
      <c r="C5" s="32" t="s">
        <v>22</v>
      </c>
      <c r="D5" s="33">
        <v>0.1</v>
      </c>
      <c r="I5">
        <v>30</v>
      </c>
    </row>
    <row r="6" spans="1:9" x14ac:dyDescent="0.3">
      <c r="A6" t="str">
        <f>Tabela7[[#This Row],[Perfil]]&amp;"-"&amp;Tabela7[[#This Row],[FII]]</f>
        <v>Conservador-Desenvolvimento</v>
      </c>
      <c r="B6" s="32" t="s">
        <v>13</v>
      </c>
      <c r="C6" s="32" t="s">
        <v>23</v>
      </c>
      <c r="D6" s="33">
        <v>0</v>
      </c>
    </row>
    <row r="7" spans="1:9" x14ac:dyDescent="0.3">
      <c r="A7" t="str">
        <f>Tabela7[[#This Row],[Perfil]]&amp;"-"&amp;Tabela7[[#This Row],[FII]]</f>
        <v>Conservador-Hotelaria</v>
      </c>
      <c r="B7" s="32" t="s">
        <v>13</v>
      </c>
      <c r="C7" s="32" t="s">
        <v>24</v>
      </c>
      <c r="D7" s="33">
        <v>0</v>
      </c>
    </row>
    <row r="8" spans="1:9" x14ac:dyDescent="0.3">
      <c r="A8" s="34" t="str">
        <f>Tabela7[[#This Row],[Perfil]]&amp;"-"&amp;Tabela7[[#This Row],[FII]]</f>
        <v>Moderado-Papel</v>
      </c>
      <c r="B8" s="35" t="s">
        <v>14</v>
      </c>
      <c r="C8" s="35" t="s">
        <v>19</v>
      </c>
      <c r="D8" s="36">
        <v>0.32</v>
      </c>
    </row>
    <row r="9" spans="1:9" x14ac:dyDescent="0.3">
      <c r="A9" s="34" t="str">
        <f>Tabela7[[#This Row],[Perfil]]&amp;"-"&amp;Tabela7[[#This Row],[FII]]</f>
        <v>Moderado-Tijolo</v>
      </c>
      <c r="B9" s="35" t="s">
        <v>14</v>
      </c>
      <c r="C9" s="35" t="s">
        <v>20</v>
      </c>
      <c r="D9" s="36">
        <v>0.35</v>
      </c>
    </row>
    <row r="10" spans="1:9" x14ac:dyDescent="0.3">
      <c r="A10" s="34" t="str">
        <f>Tabela7[[#This Row],[Perfil]]&amp;"-"&amp;Tabela7[[#This Row],[FII]]</f>
        <v>Moderado-Híbrido</v>
      </c>
      <c r="B10" s="35" t="s">
        <v>14</v>
      </c>
      <c r="C10" s="35" t="s">
        <v>21</v>
      </c>
      <c r="D10" s="36">
        <v>0.08</v>
      </c>
    </row>
    <row r="11" spans="1:9" x14ac:dyDescent="0.3">
      <c r="A11" s="34" t="str">
        <f>Tabela7[[#This Row],[Perfil]]&amp;"-"&amp;Tabela7[[#This Row],[FII]]</f>
        <v>Moderado-FOFs</v>
      </c>
      <c r="B11" s="35" t="s">
        <v>14</v>
      </c>
      <c r="C11" s="35" t="s">
        <v>22</v>
      </c>
      <c r="D11" s="36">
        <v>0.05</v>
      </c>
    </row>
    <row r="12" spans="1:9" x14ac:dyDescent="0.3">
      <c r="A12" s="34" t="str">
        <f>Tabela7[[#This Row],[Perfil]]&amp;"-"&amp;Tabela7[[#This Row],[FII]]</f>
        <v>Moderado-Desenvolvimento</v>
      </c>
      <c r="B12" s="35" t="s">
        <v>14</v>
      </c>
      <c r="C12" s="35" t="s">
        <v>23</v>
      </c>
      <c r="D12" s="36">
        <v>0.1</v>
      </c>
    </row>
    <row r="13" spans="1:9" x14ac:dyDescent="0.3">
      <c r="A13" s="34" t="str">
        <f>Tabela7[[#This Row],[Perfil]]&amp;"-"&amp;Tabela7[[#This Row],[FII]]</f>
        <v>Moderado-Hotelaria</v>
      </c>
      <c r="B13" s="35" t="s">
        <v>14</v>
      </c>
      <c r="C13" s="35" t="s">
        <v>24</v>
      </c>
      <c r="D13" s="36">
        <v>0.1</v>
      </c>
    </row>
    <row r="14" spans="1:9" x14ac:dyDescent="0.3">
      <c r="A14" s="37" t="str">
        <f>Tabela7[[#This Row],[Perfil]]&amp;"-"&amp;Tabela7[[#This Row],[FII]]</f>
        <v>Agressivo-Papel</v>
      </c>
      <c r="B14" s="38" t="s">
        <v>15</v>
      </c>
      <c r="C14" s="38" t="s">
        <v>19</v>
      </c>
      <c r="D14" s="39">
        <v>0.5</v>
      </c>
    </row>
    <row r="15" spans="1:9" x14ac:dyDescent="0.3">
      <c r="A15" s="37" t="str">
        <f>Tabela7[[#This Row],[Perfil]]&amp;"-"&amp;Tabela7[[#This Row],[FII]]</f>
        <v>Agressivo-Tijolo</v>
      </c>
      <c r="B15" s="38" t="s">
        <v>15</v>
      </c>
      <c r="C15" s="38" t="s">
        <v>20</v>
      </c>
      <c r="D15" s="39">
        <v>0.1</v>
      </c>
    </row>
    <row r="16" spans="1:9" x14ac:dyDescent="0.3">
      <c r="A16" s="37" t="str">
        <f>Tabela7[[#This Row],[Perfil]]&amp;"-"&amp;Tabela7[[#This Row],[FII]]</f>
        <v>Agressivo-Híbrido</v>
      </c>
      <c r="B16" s="38" t="s">
        <v>15</v>
      </c>
      <c r="C16" s="38" t="s">
        <v>21</v>
      </c>
      <c r="D16" s="39">
        <v>0.05</v>
      </c>
    </row>
    <row r="17" spans="1:4" x14ac:dyDescent="0.3">
      <c r="A17" s="37" t="str">
        <f>Tabela7[[#This Row],[Perfil]]&amp;"-"&amp;Tabela7[[#This Row],[FII]]</f>
        <v>Agressivo-FOFs</v>
      </c>
      <c r="B17" s="38" t="s">
        <v>15</v>
      </c>
      <c r="C17" s="38" t="s">
        <v>22</v>
      </c>
      <c r="D17" s="39">
        <v>0.05</v>
      </c>
    </row>
    <row r="18" spans="1:4" x14ac:dyDescent="0.3">
      <c r="A18" s="37" t="str">
        <f>Tabela7[[#This Row],[Perfil]]&amp;"-"&amp;Tabela7[[#This Row],[FII]]</f>
        <v>Agressivo-Desenvolvimento</v>
      </c>
      <c r="B18" s="38" t="s">
        <v>15</v>
      </c>
      <c r="C18" s="38" t="s">
        <v>23</v>
      </c>
      <c r="D18" s="39">
        <v>0.2</v>
      </c>
    </row>
    <row r="19" spans="1:4" x14ac:dyDescent="0.3">
      <c r="A19" s="37" t="str">
        <f>Tabela7[[#This Row],[Perfil]]&amp;"-"&amp;Tabela7[[#This Row],[FII]]</f>
        <v>Agressivo-Hotelaria</v>
      </c>
      <c r="B19" s="38" t="s">
        <v>15</v>
      </c>
      <c r="C19" s="38" t="s">
        <v>24</v>
      </c>
      <c r="D19" s="39">
        <v>0.1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11</vt:i4>
      </vt:variant>
    </vt:vector>
  </HeadingPairs>
  <TitlesOfParts>
    <vt:vector size="13" baseType="lpstr">
      <vt:lpstr>Invest ID</vt:lpstr>
      <vt:lpstr>Planilha1</vt:lpstr>
      <vt:lpstr>aporte</vt:lpstr>
      <vt:lpstr>'Invest ID'!Area_de_impressao</vt:lpstr>
      <vt:lpstr>dividendo</vt:lpstr>
      <vt:lpstr>patrimonio</vt:lpstr>
      <vt:lpstr>Perfil_investimento</vt:lpstr>
      <vt:lpstr>qtd_anos</vt:lpstr>
      <vt:lpstr>rendimento_carteira</vt:lpstr>
      <vt:lpstr>salario</vt:lpstr>
      <vt:lpstr>sugestao_investimento</vt:lpstr>
      <vt:lpstr>sugestao_investimento_porcent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NOGUEIRA</dc:creator>
  <cp:lastModifiedBy>PATRICK NOGUEIRA</cp:lastModifiedBy>
  <dcterms:created xsi:type="dcterms:W3CDTF">2026-01-10T21:38:49Z</dcterms:created>
  <dcterms:modified xsi:type="dcterms:W3CDTF">2026-01-12T04:03:26Z</dcterms:modified>
</cp:coreProperties>
</file>